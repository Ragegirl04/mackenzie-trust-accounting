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humna/Downloads/"/>
    </mc:Choice>
  </mc:AlternateContent>
  <xr:revisionPtr revIDLastSave="0" documentId="8_{38F0BF00-FE40-FF4A-ABD4-429C09EDC2FD}" xr6:coauthVersionLast="47" xr6:coauthVersionMax="47" xr10:uidLastSave="{00000000-0000-0000-0000-000000000000}"/>
  <bookViews>
    <workbookView xWindow="380" yWindow="20" windowWidth="28040" windowHeight="16640" activeTab="2" xr2:uid="{E7F0A117-C30F-3042-936B-32B9E988C289}"/>
  </bookViews>
  <sheets>
    <sheet name="Sheet1" sheetId="5" r:id="rId1"/>
    <sheet name="Transactions" sheetId="1" r:id="rId2"/>
    <sheet name="Reconciliation" sheetId="2" r:id="rId3"/>
    <sheet name="Discrepancy" sheetId="3" r:id="rId4"/>
    <sheet name="Dashboard" sheetId="4" r:id="rId5"/>
  </sheets>
  <calcPr calcId="191029"/>
  <pivotCaches>
    <pivotCache cacheId="2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A3" i="3"/>
  <c r="A2" i="3"/>
  <c r="A4" i="3"/>
  <c r="E3" i="2"/>
  <c r="E4" i="2"/>
  <c r="E2" i="2"/>
  <c r="D3" i="2"/>
  <c r="D4" i="2"/>
  <c r="D2" i="2"/>
  <c r="C2" i="2"/>
  <c r="C4" i="2"/>
  <c r="C3" i="2"/>
</calcChain>
</file>

<file path=xl/sharedStrings.xml><?xml version="1.0" encoding="utf-8"?>
<sst xmlns="http://schemas.openxmlformats.org/spreadsheetml/2006/main" count="345" uniqueCount="118">
  <si>
    <t>Date</t>
  </si>
  <si>
    <t xml:space="preserve">Account </t>
  </si>
  <si>
    <t xml:space="preserve">Transaction Type </t>
  </si>
  <si>
    <t>Amount</t>
  </si>
  <si>
    <t>Account</t>
  </si>
  <si>
    <t>08/01/2024</t>
  </si>
  <si>
    <t>FHSA</t>
  </si>
  <si>
    <t>Deposit</t>
  </si>
  <si>
    <t>11/01/2024</t>
  </si>
  <si>
    <t>13/01/2024</t>
  </si>
  <si>
    <t>RRSP</t>
  </si>
  <si>
    <t>Withdrawal</t>
  </si>
  <si>
    <t>20/01/2024</t>
  </si>
  <si>
    <t>22/01/2024</t>
  </si>
  <si>
    <t>TFSA</t>
  </si>
  <si>
    <t>23/01/2024</t>
  </si>
  <si>
    <t>25/01/2024</t>
  </si>
  <si>
    <t>26/01/2024</t>
  </si>
  <si>
    <t>01/02/2024</t>
  </si>
  <si>
    <t>14/02/2024</t>
  </si>
  <si>
    <t>15/02/2024</t>
  </si>
  <si>
    <t>21/02/2024</t>
  </si>
  <si>
    <t>22/02/2024</t>
  </si>
  <si>
    <t>27/02/2024</t>
  </si>
  <si>
    <t>06/03/2024</t>
  </si>
  <si>
    <t>08/03/2024</t>
  </si>
  <si>
    <t>14/03/2024</t>
  </si>
  <si>
    <t>17/03/2024</t>
  </si>
  <si>
    <t>21/03/2024</t>
  </si>
  <si>
    <t>27/03/2024</t>
  </si>
  <si>
    <t>31/03/2024</t>
  </si>
  <si>
    <t>12/04/2024</t>
  </si>
  <si>
    <t>17/04/2024</t>
  </si>
  <si>
    <t>25/04/2024</t>
  </si>
  <si>
    <t>28/04/2024</t>
  </si>
  <si>
    <t>05/05/2024</t>
  </si>
  <si>
    <t>11/05/2024</t>
  </si>
  <si>
    <t>12/05/2024</t>
  </si>
  <si>
    <t>13/05/2024</t>
  </si>
  <si>
    <t>15/05/2024</t>
  </si>
  <si>
    <t>16/05/2024</t>
  </si>
  <si>
    <t>24/05/2024</t>
  </si>
  <si>
    <t>06/06/2024</t>
  </si>
  <si>
    <t>08/06/2024</t>
  </si>
  <si>
    <t>09/06/2024</t>
  </si>
  <si>
    <t>10/06/2024</t>
  </si>
  <si>
    <t>14/06/2024</t>
  </si>
  <si>
    <t>15/06/2024</t>
  </si>
  <si>
    <t>16/06/2024</t>
  </si>
  <si>
    <t>22/06/2024</t>
  </si>
  <si>
    <t>24/06/2024</t>
  </si>
  <si>
    <t>11/07/2024</t>
  </si>
  <si>
    <t>20/07/2024</t>
  </si>
  <si>
    <t>21/07/2024</t>
  </si>
  <si>
    <t>22/07/2024</t>
  </si>
  <si>
    <t>27/07/2024</t>
  </si>
  <si>
    <t>28/07/2024</t>
  </si>
  <si>
    <t>30/07/2024</t>
  </si>
  <si>
    <t>31/07/2024</t>
  </si>
  <si>
    <t>04/08/2024</t>
  </si>
  <si>
    <t>06/08/2024</t>
  </si>
  <si>
    <t>09/08/2024</t>
  </si>
  <si>
    <t>10/08/2024</t>
  </si>
  <si>
    <t>13/08/2024</t>
  </si>
  <si>
    <t>15/08/2024</t>
  </si>
  <si>
    <t>16/08/2024</t>
  </si>
  <si>
    <t>19/08/2024</t>
  </si>
  <si>
    <t>26/08/2024</t>
  </si>
  <si>
    <t>27/08/2024</t>
  </si>
  <si>
    <t>05/09/2024</t>
  </si>
  <si>
    <t>09/09/2024</t>
  </si>
  <si>
    <t>12/09/2024</t>
  </si>
  <si>
    <t>14/09/2024</t>
  </si>
  <si>
    <t>16/09/2024</t>
  </si>
  <si>
    <t>24/09/2024</t>
  </si>
  <si>
    <t>26/09/2024</t>
  </si>
  <si>
    <t>15/10/2024</t>
  </si>
  <si>
    <t>26/10/2024</t>
  </si>
  <si>
    <t>28/10/2024</t>
  </si>
  <si>
    <t>30/10/2024</t>
  </si>
  <si>
    <t>04/11/2024</t>
  </si>
  <si>
    <t>15/11/2024</t>
  </si>
  <si>
    <t>16/11/2024</t>
  </si>
  <si>
    <t>19/11/2024</t>
  </si>
  <si>
    <t>20/11/2024</t>
  </si>
  <si>
    <t>22/11/2024</t>
  </si>
  <si>
    <t>23/11/2024</t>
  </si>
  <si>
    <t>01/12/2024</t>
  </si>
  <si>
    <t>06/12/2024</t>
  </si>
  <si>
    <t>08/12/2024</t>
  </si>
  <si>
    <t>09/12/2024</t>
  </si>
  <si>
    <t>10/12/2024</t>
  </si>
  <si>
    <t>12/12/2024</t>
  </si>
  <si>
    <t>14/12/2024</t>
  </si>
  <si>
    <t>16/12/2024</t>
  </si>
  <si>
    <t>18/12/2024</t>
  </si>
  <si>
    <t>25/12/2024</t>
  </si>
  <si>
    <t>29/12/2024</t>
  </si>
  <si>
    <t>Running  Balance</t>
  </si>
  <si>
    <t>Expected Balance</t>
  </si>
  <si>
    <t>Actual Balance</t>
  </si>
  <si>
    <t>Difference</t>
  </si>
  <si>
    <t>Status</t>
  </si>
  <si>
    <t>Action Required</t>
  </si>
  <si>
    <t>Investigate missing RRSP deposits and verify transaction records</t>
  </si>
  <si>
    <t>Review TFSA withdrawal history and confirm client authorizations</t>
  </si>
  <si>
    <t>Reconcile FHSA opening balance and verify contribution limits</t>
  </si>
  <si>
    <t>Mackenzie Investments - Trust Account Dashboard</t>
  </si>
  <si>
    <t>Row Labels</t>
  </si>
  <si>
    <t>Grand Total</t>
  </si>
  <si>
    <t>Sum of Amount</t>
  </si>
  <si>
    <t>Column Labels</t>
  </si>
  <si>
    <t>Account Code</t>
  </si>
  <si>
    <t>Full Name</t>
  </si>
  <si>
    <t>Registered Retirement Savings Plan</t>
  </si>
  <si>
    <t>Tax Free Savings Account</t>
  </si>
  <si>
    <t>First Home Savings Account</t>
  </si>
  <si>
    <t>Full Account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</si>
</sst>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6"/>
      <color theme="1"/>
      <name val="Calibri"/>
      <family val="2"/>
    </font>
    <font>
      <b/>
      <sz val="12"/>
      <color rgb="FFFFFFFF"/>
      <name val="Aptos Narrow"/>
      <scheme val="minor"/>
    </font>
    <font>
      <sz val="12"/>
      <color theme="3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467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2" borderId="0" xfId="0" applyFont="1" applyFill="1"/>
    <xf numFmtId="0" fontId="3" fillId="3" borderId="0" xfId="0" applyFont="1" applyFill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[Trust Accounting - Full Project.xlsm]Dashboard!PivotTable4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Trust</a:t>
            </a:r>
            <a:r>
              <a:rPr lang="en-US" baseline="0"/>
              <a:t> Accounting Transaction Summary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Dashboard!$C$5:$C$6</c:f>
              <c:strCache>
                <c:ptCount val="1"/>
                <c:pt idx="0">
                  <c:v>Deposit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Dashboard!$B$7:$B$10</c:f>
              <c:strCache>
                <c:ptCount val="3"/>
                <c:pt idx="0">
                  <c:v>FHSA</c:v>
                </c:pt>
                <c:pt idx="1">
                  <c:v>RRSP</c:v>
                </c:pt>
                <c:pt idx="2">
                  <c:v>TFSA</c:v>
                </c:pt>
              </c:strCache>
            </c:strRef>
          </c:cat>
          <c:val>
            <c:numRef>
              <c:f>Dashboard!$C$7:$C$10</c:f>
              <c:numCache>
                <c:formatCode>General</c:formatCode>
                <c:ptCount val="3"/>
                <c:pt idx="0">
                  <c:v>38250</c:v>
                </c:pt>
                <c:pt idx="1">
                  <c:v>30800</c:v>
                </c:pt>
                <c:pt idx="2">
                  <c:v>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22-2B45-B8BF-F9C25E81693C}"/>
            </c:ext>
          </c:extLst>
        </c:ser>
        <c:ser>
          <c:idx val="1"/>
          <c:order val="1"/>
          <c:tx>
            <c:strRef>
              <c:f>Dashboard!$D$5:$D$6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Dashboard!$B$7:$B$10</c:f>
              <c:strCache>
                <c:ptCount val="3"/>
                <c:pt idx="0">
                  <c:v>FHSA</c:v>
                </c:pt>
                <c:pt idx="1">
                  <c:v>RRSP</c:v>
                </c:pt>
                <c:pt idx="2">
                  <c:v>TFSA</c:v>
                </c:pt>
              </c:strCache>
            </c:strRef>
          </c:cat>
          <c:val>
            <c:numRef>
              <c:f>Dashboard!$D$7:$D$10</c:f>
              <c:numCache>
                <c:formatCode>General</c:formatCode>
                <c:ptCount val="3"/>
                <c:pt idx="0">
                  <c:v>31400</c:v>
                </c:pt>
                <c:pt idx="1">
                  <c:v>27900</c:v>
                </c:pt>
                <c:pt idx="2">
                  <c:v>35050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22-2B45-B8BF-F9C25E816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88864"/>
        <c:axId val="1740387200"/>
      </c:barChart>
      <c:catAx>
        <c:axId val="174038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Account</a:t>
                </a:r>
                <a:r>
                  <a:rPr lang="en-US" baseline="0"/>
                  <a:t> Type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87200"/>
        <c:crosses val="autoZero"/>
        <c:auto val="1"/>
        <c:lblAlgn val="ctr"/>
        <c:lblOffset val="100"/>
        <c:noMultiLvlLbl val="0"/>
      </c:catAx>
      <c:valAx>
        <c:axId val="174038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Amount (CAD)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8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[Trust Accounting - Full Project.xlsm]Dashboard!PivotTable5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Dashboard!$C$23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Dashboard!$B$24:$B$26</c:f>
              <c:strCache>
                <c:ptCount val="2"/>
                <c:pt idx="0">
                  <c:v>Deposit</c:v>
                </c:pt>
                <c:pt idx="1">
                  <c:v>Withdrawal</c:v>
                </c:pt>
              </c:strCache>
            </c:strRef>
          </c:cat>
          <c:val>
            <c:numRef>
              <c:f>Dashboard!$C$24:$C$26</c:f>
              <c:numCache>
                <c:formatCode>General</c:formatCode>
                <c:ptCount val="2"/>
                <c:pt idx="0">
                  <c:v>116050</c:v>
                </c:pt>
                <c:pt idx="1">
                  <c:v>94350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A-D24C-B010-4238386F3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9</xdr:row>
          <xdr:rowOff>114300</xdr:rowOff>
        </xdr:from>
        <xdr:to>
          <xdr:col>6</xdr:col>
          <xdr:colOff>444500</xdr:colOff>
          <xdr:row>11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1A887CA-5C19-4C04-2318-79C85660A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8</xdr:row>
      <xdr:rowOff>88900</xdr:rowOff>
    </xdr:from>
    <xdr:to>
      <xdr:col>12</xdr:col>
      <xdr:colOff>615950</xdr:colOff>
      <xdr:row>24</xdr:row>
      <xdr:rowOff>127000</xdr:rowOff>
    </xdr:to>
    <xdr:graphicFrame macro="">
      <xdr:nvGraphicFramePr>
        <xdr:cNvPr id="2" name="Trust Accouunt">
          <a:extLst>
            <a:ext uri="{FF2B5EF4-FFF2-40B4-BE49-F238E27FC236}">
              <a16:creationId xmlns:a16="http://schemas.microsoft.com/office/drawing/2014/main" id="{DF8FAC5C-D1D1-F16C-6EF8-907C3B63D4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736600</xdr:colOff>
      <xdr:row>25</xdr:row>
      <xdr:rowOff>88900</xdr:rowOff>
    </xdr:from>
    <xdr:to>
      <xdr:col>9</xdr:col>
      <xdr:colOff>406400</xdr:colOff>
      <xdr:row>38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383CB4F-872A-9266-C6EF-DF75CC30B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6139.848771990743" createdVersion="8" refreshedVersion="8" minRefreshableVersion="3" recordCount="100" xr:uid="{520F274F-099A-3040-B9E8-96ACE48A9496}">
  <cacheSource type="worksheet">
    <worksheetSource name="Transactions"/>
  </cacheSource>
  <cacheFields count="5">
    <cacheField name="Date" numFmtId="0">
      <sharedItems/>
    </cacheField>
    <cacheField name="Account " numFmtId="0">
      <sharedItems count="3">
        <s v="FHSA"/>
        <s v="RRSP"/>
        <s v="TFSA"/>
      </sharedItems>
    </cacheField>
    <cacheField name="Transaction Type " numFmtId="0">
      <sharedItems count="2">
        <s v="Deposit"/>
        <s v="Withdrawal"/>
      </sharedItems>
    </cacheField>
    <cacheField name="Amount" numFmtId="0">
      <sharedItems containsSemiMixedTypes="0" containsString="0" containsNumber="1" containsInteger="1" minValue="500" maxValue="5000"/>
    </cacheField>
    <cacheField name="Running  Balance" numFmtId="0">
      <sharedItems containsSemiMixedTypes="0" containsString="0" containsNumber="1" containsInteger="1" minValue="100" maxValue="15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08/01/2024"/>
    <x v="0"/>
    <x v="0"/>
    <n v="1250"/>
    <n v="11100"/>
  </r>
  <r>
    <s v="11/01/2024"/>
    <x v="0"/>
    <x v="0"/>
    <n v="2500"/>
    <n v="6500"/>
  </r>
  <r>
    <s v="13/01/2024"/>
    <x v="1"/>
    <x v="1"/>
    <n v="2500"/>
    <n v="3750"/>
  </r>
  <r>
    <s v="13/01/2024"/>
    <x v="1"/>
    <x v="0"/>
    <n v="1500"/>
    <n v="6250"/>
  </r>
  <r>
    <s v="13/01/2024"/>
    <x v="0"/>
    <x v="0"/>
    <n v="2250"/>
    <n v="8600"/>
  </r>
  <r>
    <s v="20/01/2024"/>
    <x v="1"/>
    <x v="1"/>
    <n v="1500"/>
    <n v="5900"/>
  </r>
  <r>
    <s v="22/01/2024"/>
    <x v="2"/>
    <x v="0"/>
    <n v="750"/>
    <n v="6200"/>
  </r>
  <r>
    <s v="23/01/2024"/>
    <x v="2"/>
    <x v="1"/>
    <n v="1750"/>
    <n v="4950"/>
  </r>
  <r>
    <s v="25/01/2024"/>
    <x v="0"/>
    <x v="1"/>
    <n v="2500"/>
    <n v="5600"/>
  </r>
  <r>
    <s v="25/01/2024"/>
    <x v="1"/>
    <x v="1"/>
    <n v="500"/>
    <n v="8400"/>
  </r>
  <r>
    <s v="26/01/2024"/>
    <x v="0"/>
    <x v="0"/>
    <n v="1000"/>
    <n v="7500"/>
  </r>
  <r>
    <s v="01/02/2024"/>
    <x v="2"/>
    <x v="1"/>
    <n v="4000"/>
    <n v="2200"/>
  </r>
  <r>
    <s v="01/02/2024"/>
    <x v="2"/>
    <x v="0"/>
    <n v="1750"/>
    <n v="8450"/>
  </r>
  <r>
    <s v="14/02/2024"/>
    <x v="1"/>
    <x v="1"/>
    <n v="1500"/>
    <n v="2000"/>
  </r>
  <r>
    <s v="15/02/2024"/>
    <x v="2"/>
    <x v="0"/>
    <n v="3000"/>
    <n v="4200"/>
  </r>
  <r>
    <s v="21/02/2024"/>
    <x v="0"/>
    <x v="0"/>
    <n v="2250"/>
    <n v="3250"/>
  </r>
  <r>
    <s v="22/02/2024"/>
    <x v="0"/>
    <x v="0"/>
    <n v="3000"/>
    <n v="15950"/>
  </r>
  <r>
    <s v="27/02/2024"/>
    <x v="2"/>
    <x v="0"/>
    <n v="1500"/>
    <n v="5450"/>
  </r>
  <r>
    <s v="06/03/2024"/>
    <x v="0"/>
    <x v="1"/>
    <n v="500"/>
    <n v="15450"/>
  </r>
  <r>
    <s v="08/03/2024"/>
    <x v="1"/>
    <x v="0"/>
    <n v="800"/>
    <n v="3050"/>
  </r>
  <r>
    <s v="14/03/2024"/>
    <x v="2"/>
    <x v="0"/>
    <n v="750"/>
    <n v="2000"/>
  </r>
  <r>
    <s v="17/03/2024"/>
    <x v="0"/>
    <x v="0"/>
    <n v="2000"/>
    <n v="13000"/>
  </r>
  <r>
    <s v="21/03/2024"/>
    <x v="0"/>
    <x v="0"/>
    <n v="750"/>
    <n v="12950"/>
  </r>
  <r>
    <s v="27/03/2024"/>
    <x v="0"/>
    <x v="1"/>
    <n v="4000"/>
    <n v="7950"/>
  </r>
  <r>
    <s v="27/03/2024"/>
    <x v="0"/>
    <x v="0"/>
    <n v="5000"/>
    <n v="5100"/>
  </r>
  <r>
    <s v="31/03/2024"/>
    <x v="0"/>
    <x v="0"/>
    <n v="750"/>
    <n v="4000"/>
  </r>
  <r>
    <s v="31/03/2024"/>
    <x v="2"/>
    <x v="1"/>
    <n v="3000"/>
    <n v="1200"/>
  </r>
  <r>
    <s v="12/04/2024"/>
    <x v="0"/>
    <x v="1"/>
    <n v="1750"/>
    <n v="9350"/>
  </r>
  <r>
    <s v="17/04/2024"/>
    <x v="1"/>
    <x v="0"/>
    <n v="3500"/>
    <n v="3500"/>
  </r>
  <r>
    <s v="17/04/2024"/>
    <x v="1"/>
    <x v="0"/>
    <n v="1500"/>
    <n v="10000"/>
  </r>
  <r>
    <s v="25/04/2024"/>
    <x v="2"/>
    <x v="0"/>
    <n v="1500"/>
    <n v="3500"/>
  </r>
  <r>
    <s v="28/04/2024"/>
    <x v="0"/>
    <x v="0"/>
    <n v="1500"/>
    <n v="11350"/>
  </r>
  <r>
    <s v="05/05/2024"/>
    <x v="2"/>
    <x v="1"/>
    <n v="2500"/>
    <n v="3950"/>
  </r>
  <r>
    <s v="11/05/2024"/>
    <x v="2"/>
    <x v="0"/>
    <n v="3500"/>
    <n v="6700"/>
  </r>
  <r>
    <s v="12/05/2024"/>
    <x v="0"/>
    <x v="0"/>
    <n v="1000"/>
    <n v="1000"/>
  </r>
  <r>
    <s v="12/05/2024"/>
    <x v="2"/>
    <x v="1"/>
    <n v="1500"/>
    <n v="6700"/>
  </r>
  <r>
    <s v="13/05/2024"/>
    <x v="1"/>
    <x v="0"/>
    <n v="3000"/>
    <n v="5000"/>
  </r>
  <r>
    <s v="15/05/2024"/>
    <x v="2"/>
    <x v="0"/>
    <n v="5000"/>
    <n v="8250"/>
  </r>
  <r>
    <s v="16/05/2024"/>
    <x v="0"/>
    <x v="1"/>
    <n v="1500"/>
    <n v="11000"/>
  </r>
  <r>
    <s v="24/05/2024"/>
    <x v="1"/>
    <x v="0"/>
    <n v="2500"/>
    <n v="6250"/>
  </r>
  <r>
    <s v="06/06/2024"/>
    <x v="1"/>
    <x v="0"/>
    <n v="1000"/>
    <n v="10500"/>
  </r>
  <r>
    <s v="08/06/2024"/>
    <x v="1"/>
    <x v="1"/>
    <n v="1500"/>
    <n v="2250"/>
  </r>
  <r>
    <s v="08/06/2024"/>
    <x v="1"/>
    <x v="1"/>
    <n v="800"/>
    <n v="7700"/>
  </r>
  <r>
    <s v="08/06/2024"/>
    <x v="1"/>
    <x v="1"/>
    <n v="800"/>
    <n v="5900"/>
  </r>
  <r>
    <s v="08/06/2024"/>
    <x v="0"/>
    <x v="1"/>
    <n v="1250"/>
    <n v="8100"/>
  </r>
  <r>
    <s v="09/06/2024"/>
    <x v="1"/>
    <x v="1"/>
    <n v="1000"/>
    <n v="6700"/>
  </r>
  <r>
    <s v="10/06/2024"/>
    <x v="0"/>
    <x v="1"/>
    <n v="3500"/>
    <n v="100"/>
  </r>
  <r>
    <s v="14/06/2024"/>
    <x v="1"/>
    <x v="0"/>
    <n v="500"/>
    <n v="8500"/>
  </r>
  <r>
    <s v="15/06/2024"/>
    <x v="1"/>
    <x v="1"/>
    <n v="500"/>
    <n v="9150"/>
  </r>
  <r>
    <s v="16/06/2024"/>
    <x v="0"/>
    <x v="0"/>
    <n v="1250"/>
    <n v="6850"/>
  </r>
  <r>
    <s v="22/06/2024"/>
    <x v="2"/>
    <x v="0"/>
    <n v="1000"/>
    <n v="6450"/>
  </r>
  <r>
    <s v="24/06/2024"/>
    <x v="1"/>
    <x v="0"/>
    <n v="1250"/>
    <n v="9650"/>
  </r>
  <r>
    <s v="11/07/2024"/>
    <x v="0"/>
    <x v="0"/>
    <n v="3000"/>
    <n v="9850"/>
  </r>
  <r>
    <s v="20/07/2024"/>
    <x v="1"/>
    <x v="1"/>
    <n v="4000"/>
    <n v="5150"/>
  </r>
  <r>
    <s v="21/07/2024"/>
    <x v="2"/>
    <x v="0"/>
    <n v="5000"/>
    <n v="5450"/>
  </r>
  <r>
    <s v="22/07/2024"/>
    <x v="2"/>
    <x v="0"/>
    <n v="2250"/>
    <n v="3250"/>
  </r>
  <r>
    <s v="27/07/2024"/>
    <x v="1"/>
    <x v="1"/>
    <n v="800"/>
    <n v="2250"/>
  </r>
  <r>
    <s v="28/07/2024"/>
    <x v="0"/>
    <x v="1"/>
    <n v="4000"/>
    <n v="4600"/>
  </r>
  <r>
    <s v="30/07/2024"/>
    <x v="1"/>
    <x v="1"/>
    <n v="750"/>
    <n v="5500"/>
  </r>
  <r>
    <s v="31/07/2024"/>
    <x v="2"/>
    <x v="1"/>
    <n v="800"/>
    <n v="4200"/>
  </r>
  <r>
    <s v="04/08/2024"/>
    <x v="1"/>
    <x v="0"/>
    <n v="1250"/>
    <n v="8500"/>
  </r>
  <r>
    <s v="06/08/2024"/>
    <x v="2"/>
    <x v="0"/>
    <n v="2500"/>
    <n v="9000"/>
  </r>
  <r>
    <s v="09/08/2024"/>
    <x v="2"/>
    <x v="0"/>
    <n v="2000"/>
    <n v="3200"/>
  </r>
  <r>
    <s v="10/08/2024"/>
    <x v="1"/>
    <x v="1"/>
    <n v="2500"/>
    <n v="8000"/>
  </r>
  <r>
    <s v="13/08/2024"/>
    <x v="1"/>
    <x v="0"/>
    <n v="3000"/>
    <n v="8900"/>
  </r>
  <r>
    <s v="15/08/2024"/>
    <x v="1"/>
    <x v="0"/>
    <n v="2500"/>
    <n v="4750"/>
  </r>
  <r>
    <s v="16/08/2024"/>
    <x v="1"/>
    <x v="1"/>
    <n v="1250"/>
    <n v="3750"/>
  </r>
  <r>
    <s v="19/08/2024"/>
    <x v="2"/>
    <x v="1"/>
    <n v="5000"/>
    <n v="1000"/>
  </r>
  <r>
    <s v="26/08/2024"/>
    <x v="1"/>
    <x v="0"/>
    <n v="2250"/>
    <n v="5650"/>
  </r>
  <r>
    <s v="27/08/2024"/>
    <x v="2"/>
    <x v="0"/>
    <n v="4500"/>
    <n v="8200"/>
  </r>
  <r>
    <s v="05/09/2024"/>
    <x v="0"/>
    <x v="1"/>
    <n v="800"/>
    <n v="6350"/>
  </r>
  <r>
    <s v="09/09/2024"/>
    <x v="2"/>
    <x v="0"/>
    <n v="3500"/>
    <n v="11950"/>
  </r>
  <r>
    <s v="12/09/2024"/>
    <x v="0"/>
    <x v="1"/>
    <n v="4500"/>
    <n v="6850"/>
  </r>
  <r>
    <s v="12/09/2024"/>
    <x v="0"/>
    <x v="0"/>
    <n v="1000"/>
    <n v="5600"/>
  </r>
  <r>
    <s v="14/09/2024"/>
    <x v="2"/>
    <x v="1"/>
    <n v="1750"/>
    <n v="450"/>
  </r>
  <r>
    <s v="16/09/2024"/>
    <x v="2"/>
    <x v="0"/>
    <n v="3000"/>
    <n v="6500"/>
  </r>
  <r>
    <s v="24/09/2024"/>
    <x v="0"/>
    <x v="1"/>
    <n v="800"/>
    <n v="12200"/>
  </r>
  <r>
    <s v="26/09/2024"/>
    <x v="1"/>
    <x v="0"/>
    <n v="2250"/>
    <n v="7400"/>
  </r>
  <r>
    <s v="15/10/2024"/>
    <x v="0"/>
    <x v="0"/>
    <n v="500"/>
    <n v="5600"/>
  </r>
  <r>
    <s v="26/10/2024"/>
    <x v="1"/>
    <x v="1"/>
    <n v="750"/>
    <n v="7250"/>
  </r>
  <r>
    <s v="28/10/2024"/>
    <x v="2"/>
    <x v="0"/>
    <n v="500"/>
    <n v="5450"/>
  </r>
  <r>
    <s v="30/10/2024"/>
    <x v="1"/>
    <x v="1"/>
    <n v="2500"/>
    <n v="3400"/>
  </r>
  <r>
    <s v="04/11/2024"/>
    <x v="0"/>
    <x v="1"/>
    <n v="800"/>
    <n v="7150"/>
  </r>
  <r>
    <s v="15/11/2024"/>
    <x v="0"/>
    <x v="1"/>
    <n v="3500"/>
    <n v="11950"/>
  </r>
  <r>
    <s v="16/11/2024"/>
    <x v="2"/>
    <x v="1"/>
    <n v="3000"/>
    <n v="1200"/>
  </r>
  <r>
    <s v="19/11/2024"/>
    <x v="0"/>
    <x v="0"/>
    <n v="5000"/>
    <n v="12500"/>
  </r>
  <r>
    <s v="20/11/2024"/>
    <x v="1"/>
    <x v="0"/>
    <n v="4000"/>
    <n v="9500"/>
  </r>
  <r>
    <s v="22/11/2024"/>
    <x v="1"/>
    <x v="1"/>
    <n v="1000"/>
    <n v="4650"/>
  </r>
  <r>
    <s v="23/11/2024"/>
    <x v="2"/>
    <x v="0"/>
    <n v="3000"/>
    <n v="5000"/>
  </r>
  <r>
    <s v="01/12/2024"/>
    <x v="0"/>
    <x v="1"/>
    <n v="2000"/>
    <n v="3600"/>
  </r>
  <r>
    <s v="06/12/2024"/>
    <x v="0"/>
    <x v="0"/>
    <n v="3000"/>
    <n v="9850"/>
  </r>
  <r>
    <s v="08/12/2024"/>
    <x v="1"/>
    <x v="1"/>
    <n v="2000"/>
    <n v="8000"/>
  </r>
  <r>
    <s v="09/12/2024"/>
    <x v="2"/>
    <x v="0"/>
    <n v="2000"/>
    <n v="2000"/>
  </r>
  <r>
    <s v="10/12/2024"/>
    <x v="2"/>
    <x v="1"/>
    <n v="3000"/>
    <n v="1250"/>
  </r>
  <r>
    <s v="12/12/2024"/>
    <x v="0"/>
    <x v="0"/>
    <n v="750"/>
    <n v="6350"/>
  </r>
  <r>
    <s v="14/12/2024"/>
    <x v="2"/>
    <x v="1"/>
    <n v="3000"/>
    <n v="6000"/>
  </r>
  <r>
    <s v="16/12/2024"/>
    <x v="2"/>
    <x v="1"/>
    <n v="4000"/>
    <n v="4250"/>
  </r>
  <r>
    <s v="18/12/2024"/>
    <x v="1"/>
    <x v="1"/>
    <n v="1750"/>
    <n v="2900"/>
  </r>
  <r>
    <s v="25/12/2024"/>
    <x v="0"/>
    <x v="0"/>
    <n v="500"/>
    <n v="6850"/>
  </r>
  <r>
    <s v="29/12/2024"/>
    <x v="2"/>
    <x v="1"/>
    <n v="1750"/>
    <n v="3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AABC97-E805-FF4B-BE71-05C6E890F61D}" name="PivotTable5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3:C26" firstHeaderRow="1" firstDataRow="1" firstDataCol="1"/>
  <pivotFields count="5"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Amount" fld="3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686B1-97DA-FF45-8DD9-B90ED341ADCB}" name="PivotTable4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5:E10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axis="axisCol" showAll="0">
      <items count="3">
        <item x="0"/>
        <item x="1"/>
        <item t="default"/>
      </items>
    </pivotField>
    <pivotField dataField="1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Amount" fld="3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04D304-8FE7-4246-836B-13F8FF1B0790}" name="Transactions" displayName="Transactions" ref="A1:E101" totalsRowShown="0">
  <autoFilter ref="A1:E101" xr:uid="{3C04D304-8FE7-4246-836B-13F8FF1B0790}"/>
  <tableColumns count="5">
    <tableColumn id="1" xr3:uid="{56FE3AE2-AB48-4C46-AA9F-2B6FE719B75E}" name="Date"/>
    <tableColumn id="2" xr3:uid="{29815444-19DA-2445-8140-CD3B81CC823E}" name="Account "/>
    <tableColumn id="3" xr3:uid="{B8DF957F-B3F2-E44B-A487-2484D6EFA3AA}" name="Transaction Type "/>
    <tableColumn id="4" xr3:uid="{4247423E-6AC3-AC40-B61B-A7B9DC52E395}" name="Amount"/>
    <tableColumn id="5" xr3:uid="{0C8EAF49-1B3A-D840-BEC8-B44B9D2A8B19}" name="Running  Balance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31353-E555-CB41-8BF5-01F5D86D4B43}">
  <sheetPr codeName="Sheet1"/>
  <dimension ref="A1"/>
  <sheetViews>
    <sheetView workbookViewId="0">
      <selection activeCell="D33" sqref="D33"/>
    </sheetView>
  </sheetViews>
  <sheetFormatPr baseColWidth="10" defaultRowHeight="16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68C2-2257-1E46-B2CB-5E5D0DCB9540}">
  <sheetPr codeName="Sheet2"/>
  <dimension ref="A1:E101"/>
  <sheetViews>
    <sheetView workbookViewId="0">
      <selection activeCell="H20" sqref="H20"/>
    </sheetView>
  </sheetViews>
  <sheetFormatPr baseColWidth="10" defaultRowHeight="16" x14ac:dyDescent="0.2"/>
  <cols>
    <col min="1" max="1" width="15.6640625" customWidth="1"/>
    <col min="2" max="2" width="14" customWidth="1"/>
    <col min="3" max="3" width="19.6640625" customWidth="1"/>
    <col min="5" max="5" width="17.5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98</v>
      </c>
    </row>
    <row r="2" spans="1:5" x14ac:dyDescent="0.2">
      <c r="A2" t="s">
        <v>5</v>
      </c>
      <c r="B2" t="s">
        <v>6</v>
      </c>
      <c r="C2" t="s">
        <v>7</v>
      </c>
      <c r="D2">
        <v>1250</v>
      </c>
      <c r="E2">
        <v>11100</v>
      </c>
    </row>
    <row r="3" spans="1:5" x14ac:dyDescent="0.2">
      <c r="A3" t="s">
        <v>8</v>
      </c>
      <c r="B3" t="s">
        <v>6</v>
      </c>
      <c r="C3" t="s">
        <v>7</v>
      </c>
      <c r="D3">
        <v>2500</v>
      </c>
      <c r="E3">
        <v>6500</v>
      </c>
    </row>
    <row r="4" spans="1:5" x14ac:dyDescent="0.2">
      <c r="A4" t="s">
        <v>9</v>
      </c>
      <c r="B4" t="s">
        <v>10</v>
      </c>
      <c r="C4" t="s">
        <v>11</v>
      </c>
      <c r="D4">
        <v>2500</v>
      </c>
      <c r="E4">
        <v>3750</v>
      </c>
    </row>
    <row r="5" spans="1:5" x14ac:dyDescent="0.2">
      <c r="A5" t="s">
        <v>9</v>
      </c>
      <c r="B5" t="s">
        <v>10</v>
      </c>
      <c r="C5" t="s">
        <v>7</v>
      </c>
      <c r="D5">
        <v>1500</v>
      </c>
      <c r="E5">
        <v>6250</v>
      </c>
    </row>
    <row r="6" spans="1:5" x14ac:dyDescent="0.2">
      <c r="A6" t="s">
        <v>9</v>
      </c>
      <c r="B6" t="s">
        <v>6</v>
      </c>
      <c r="C6" t="s">
        <v>7</v>
      </c>
      <c r="D6">
        <v>2250</v>
      </c>
      <c r="E6">
        <v>8600</v>
      </c>
    </row>
    <row r="7" spans="1:5" x14ac:dyDescent="0.2">
      <c r="A7" t="s">
        <v>12</v>
      </c>
      <c r="B7" t="s">
        <v>10</v>
      </c>
      <c r="C7" t="s">
        <v>11</v>
      </c>
      <c r="D7">
        <v>1500</v>
      </c>
      <c r="E7">
        <v>5900</v>
      </c>
    </row>
    <row r="8" spans="1:5" x14ac:dyDescent="0.2">
      <c r="A8" t="s">
        <v>13</v>
      </c>
      <c r="B8" t="s">
        <v>14</v>
      </c>
      <c r="C8" t="s">
        <v>7</v>
      </c>
      <c r="D8">
        <v>750</v>
      </c>
      <c r="E8">
        <v>6200</v>
      </c>
    </row>
    <row r="9" spans="1:5" x14ac:dyDescent="0.2">
      <c r="A9" t="s">
        <v>15</v>
      </c>
      <c r="B9" t="s">
        <v>14</v>
      </c>
      <c r="C9" t="s">
        <v>11</v>
      </c>
      <c r="D9">
        <v>1750</v>
      </c>
      <c r="E9">
        <v>4950</v>
      </c>
    </row>
    <row r="10" spans="1:5" x14ac:dyDescent="0.2">
      <c r="A10" t="s">
        <v>16</v>
      </c>
      <c r="B10" t="s">
        <v>6</v>
      </c>
      <c r="C10" t="s">
        <v>11</v>
      </c>
      <c r="D10">
        <v>2500</v>
      </c>
      <c r="E10">
        <v>5600</v>
      </c>
    </row>
    <row r="11" spans="1:5" x14ac:dyDescent="0.2">
      <c r="A11" t="s">
        <v>16</v>
      </c>
      <c r="B11" t="s">
        <v>10</v>
      </c>
      <c r="C11" t="s">
        <v>11</v>
      </c>
      <c r="D11">
        <v>500</v>
      </c>
      <c r="E11">
        <v>8400</v>
      </c>
    </row>
    <row r="12" spans="1:5" x14ac:dyDescent="0.2">
      <c r="A12" t="s">
        <v>17</v>
      </c>
      <c r="B12" t="s">
        <v>6</v>
      </c>
      <c r="C12" t="s">
        <v>7</v>
      </c>
      <c r="D12">
        <v>1000</v>
      </c>
      <c r="E12">
        <v>7500</v>
      </c>
    </row>
    <row r="13" spans="1:5" x14ac:dyDescent="0.2">
      <c r="A13" t="s">
        <v>18</v>
      </c>
      <c r="B13" t="s">
        <v>14</v>
      </c>
      <c r="C13" t="s">
        <v>11</v>
      </c>
      <c r="D13">
        <v>4000</v>
      </c>
      <c r="E13">
        <v>2200</v>
      </c>
    </row>
    <row r="14" spans="1:5" x14ac:dyDescent="0.2">
      <c r="A14" t="s">
        <v>18</v>
      </c>
      <c r="B14" t="s">
        <v>14</v>
      </c>
      <c r="C14" t="s">
        <v>7</v>
      </c>
      <c r="D14">
        <v>1750</v>
      </c>
      <c r="E14">
        <v>8450</v>
      </c>
    </row>
    <row r="15" spans="1:5" x14ac:dyDescent="0.2">
      <c r="A15" t="s">
        <v>19</v>
      </c>
      <c r="B15" t="s">
        <v>10</v>
      </c>
      <c r="C15" t="s">
        <v>11</v>
      </c>
      <c r="D15">
        <v>1500</v>
      </c>
      <c r="E15">
        <v>2000</v>
      </c>
    </row>
    <row r="16" spans="1:5" x14ac:dyDescent="0.2">
      <c r="A16" t="s">
        <v>20</v>
      </c>
      <c r="B16" t="s">
        <v>14</v>
      </c>
      <c r="C16" t="s">
        <v>7</v>
      </c>
      <c r="D16">
        <v>3000</v>
      </c>
      <c r="E16">
        <v>4200</v>
      </c>
    </row>
    <row r="17" spans="1:5" x14ac:dyDescent="0.2">
      <c r="A17" t="s">
        <v>21</v>
      </c>
      <c r="B17" t="s">
        <v>6</v>
      </c>
      <c r="C17" t="s">
        <v>7</v>
      </c>
      <c r="D17">
        <v>2250</v>
      </c>
      <c r="E17">
        <v>3250</v>
      </c>
    </row>
    <row r="18" spans="1:5" x14ac:dyDescent="0.2">
      <c r="A18" t="s">
        <v>22</v>
      </c>
      <c r="B18" t="s">
        <v>6</v>
      </c>
      <c r="C18" t="s">
        <v>7</v>
      </c>
      <c r="D18">
        <v>3000</v>
      </c>
      <c r="E18">
        <v>15950</v>
      </c>
    </row>
    <row r="19" spans="1:5" x14ac:dyDescent="0.2">
      <c r="A19" t="s">
        <v>23</v>
      </c>
      <c r="B19" t="s">
        <v>14</v>
      </c>
      <c r="C19" t="s">
        <v>7</v>
      </c>
      <c r="D19">
        <v>1500</v>
      </c>
      <c r="E19">
        <v>5450</v>
      </c>
    </row>
    <row r="20" spans="1:5" x14ac:dyDescent="0.2">
      <c r="A20" t="s">
        <v>24</v>
      </c>
      <c r="B20" t="s">
        <v>6</v>
      </c>
      <c r="C20" t="s">
        <v>11</v>
      </c>
      <c r="D20">
        <v>500</v>
      </c>
      <c r="E20">
        <v>15450</v>
      </c>
    </row>
    <row r="21" spans="1:5" x14ac:dyDescent="0.2">
      <c r="A21" t="s">
        <v>25</v>
      </c>
      <c r="B21" t="s">
        <v>10</v>
      </c>
      <c r="C21" t="s">
        <v>7</v>
      </c>
      <c r="D21">
        <v>800</v>
      </c>
      <c r="E21">
        <v>3050</v>
      </c>
    </row>
    <row r="22" spans="1:5" x14ac:dyDescent="0.2">
      <c r="A22" t="s">
        <v>26</v>
      </c>
      <c r="B22" t="s">
        <v>14</v>
      </c>
      <c r="C22" t="s">
        <v>7</v>
      </c>
      <c r="D22">
        <v>750</v>
      </c>
      <c r="E22">
        <v>2000</v>
      </c>
    </row>
    <row r="23" spans="1:5" x14ac:dyDescent="0.2">
      <c r="A23" t="s">
        <v>27</v>
      </c>
      <c r="B23" t="s">
        <v>6</v>
      </c>
      <c r="C23" t="s">
        <v>7</v>
      </c>
      <c r="D23">
        <v>2000</v>
      </c>
      <c r="E23">
        <v>13000</v>
      </c>
    </row>
    <row r="24" spans="1:5" x14ac:dyDescent="0.2">
      <c r="A24" t="s">
        <v>28</v>
      </c>
      <c r="B24" t="s">
        <v>6</v>
      </c>
      <c r="C24" t="s">
        <v>7</v>
      </c>
      <c r="D24">
        <v>750</v>
      </c>
      <c r="E24">
        <v>12950</v>
      </c>
    </row>
    <row r="25" spans="1:5" x14ac:dyDescent="0.2">
      <c r="A25" t="s">
        <v>29</v>
      </c>
      <c r="B25" t="s">
        <v>6</v>
      </c>
      <c r="C25" t="s">
        <v>11</v>
      </c>
      <c r="D25">
        <v>4000</v>
      </c>
      <c r="E25">
        <v>7950</v>
      </c>
    </row>
    <row r="26" spans="1:5" x14ac:dyDescent="0.2">
      <c r="A26" t="s">
        <v>29</v>
      </c>
      <c r="B26" t="s">
        <v>6</v>
      </c>
      <c r="C26" t="s">
        <v>7</v>
      </c>
      <c r="D26">
        <v>5000</v>
      </c>
      <c r="E26">
        <v>5100</v>
      </c>
    </row>
    <row r="27" spans="1:5" x14ac:dyDescent="0.2">
      <c r="A27" t="s">
        <v>30</v>
      </c>
      <c r="B27" t="s">
        <v>6</v>
      </c>
      <c r="C27" t="s">
        <v>7</v>
      </c>
      <c r="D27">
        <v>750</v>
      </c>
      <c r="E27">
        <v>4000</v>
      </c>
    </row>
    <row r="28" spans="1:5" x14ac:dyDescent="0.2">
      <c r="A28" t="s">
        <v>30</v>
      </c>
      <c r="B28" t="s">
        <v>14</v>
      </c>
      <c r="C28" t="s">
        <v>11</v>
      </c>
      <c r="D28">
        <v>3000</v>
      </c>
      <c r="E28">
        <v>1200</v>
      </c>
    </row>
    <row r="29" spans="1:5" x14ac:dyDescent="0.2">
      <c r="A29" t="s">
        <v>31</v>
      </c>
      <c r="B29" t="s">
        <v>6</v>
      </c>
      <c r="C29" t="s">
        <v>11</v>
      </c>
      <c r="D29">
        <v>1750</v>
      </c>
      <c r="E29">
        <v>9350</v>
      </c>
    </row>
    <row r="30" spans="1:5" x14ac:dyDescent="0.2">
      <c r="A30" t="s">
        <v>32</v>
      </c>
      <c r="B30" t="s">
        <v>10</v>
      </c>
      <c r="C30" t="s">
        <v>7</v>
      </c>
      <c r="D30">
        <v>3500</v>
      </c>
      <c r="E30">
        <v>3500</v>
      </c>
    </row>
    <row r="31" spans="1:5" x14ac:dyDescent="0.2">
      <c r="A31" t="s">
        <v>32</v>
      </c>
      <c r="B31" t="s">
        <v>10</v>
      </c>
      <c r="C31" t="s">
        <v>7</v>
      </c>
      <c r="D31">
        <v>1500</v>
      </c>
      <c r="E31">
        <v>10000</v>
      </c>
    </row>
    <row r="32" spans="1:5" x14ac:dyDescent="0.2">
      <c r="A32" t="s">
        <v>33</v>
      </c>
      <c r="B32" t="s">
        <v>14</v>
      </c>
      <c r="C32" t="s">
        <v>7</v>
      </c>
      <c r="D32">
        <v>1500</v>
      </c>
      <c r="E32">
        <v>3500</v>
      </c>
    </row>
    <row r="33" spans="1:5" x14ac:dyDescent="0.2">
      <c r="A33" t="s">
        <v>34</v>
      </c>
      <c r="B33" t="s">
        <v>6</v>
      </c>
      <c r="C33" t="s">
        <v>7</v>
      </c>
      <c r="D33">
        <v>1500</v>
      </c>
      <c r="E33">
        <v>11350</v>
      </c>
    </row>
    <row r="34" spans="1:5" x14ac:dyDescent="0.2">
      <c r="A34" t="s">
        <v>35</v>
      </c>
      <c r="B34" t="s">
        <v>14</v>
      </c>
      <c r="C34" t="s">
        <v>11</v>
      </c>
      <c r="D34">
        <v>2500</v>
      </c>
      <c r="E34">
        <v>3950</v>
      </c>
    </row>
    <row r="35" spans="1:5" x14ac:dyDescent="0.2">
      <c r="A35" t="s">
        <v>36</v>
      </c>
      <c r="B35" t="s">
        <v>14</v>
      </c>
      <c r="C35" t="s">
        <v>7</v>
      </c>
      <c r="D35">
        <v>3500</v>
      </c>
      <c r="E35">
        <v>6700</v>
      </c>
    </row>
    <row r="36" spans="1:5" x14ac:dyDescent="0.2">
      <c r="A36" t="s">
        <v>37</v>
      </c>
      <c r="B36" t="s">
        <v>6</v>
      </c>
      <c r="C36" t="s">
        <v>7</v>
      </c>
      <c r="D36">
        <v>1000</v>
      </c>
      <c r="E36">
        <v>1000</v>
      </c>
    </row>
    <row r="37" spans="1:5" x14ac:dyDescent="0.2">
      <c r="A37" t="s">
        <v>37</v>
      </c>
      <c r="B37" t="s">
        <v>14</v>
      </c>
      <c r="C37" t="s">
        <v>11</v>
      </c>
      <c r="D37">
        <v>1500</v>
      </c>
      <c r="E37">
        <v>6700</v>
      </c>
    </row>
    <row r="38" spans="1:5" x14ac:dyDescent="0.2">
      <c r="A38" t="s">
        <v>38</v>
      </c>
      <c r="B38" t="s">
        <v>10</v>
      </c>
      <c r="C38" t="s">
        <v>7</v>
      </c>
      <c r="D38">
        <v>3000</v>
      </c>
      <c r="E38">
        <v>5000</v>
      </c>
    </row>
    <row r="39" spans="1:5" x14ac:dyDescent="0.2">
      <c r="A39" t="s">
        <v>39</v>
      </c>
      <c r="B39" t="s">
        <v>14</v>
      </c>
      <c r="C39" t="s">
        <v>7</v>
      </c>
      <c r="D39">
        <v>5000</v>
      </c>
      <c r="E39">
        <v>8250</v>
      </c>
    </row>
    <row r="40" spans="1:5" x14ac:dyDescent="0.2">
      <c r="A40" t="s">
        <v>40</v>
      </c>
      <c r="B40" t="s">
        <v>6</v>
      </c>
      <c r="C40" t="s">
        <v>11</v>
      </c>
      <c r="D40">
        <v>1500</v>
      </c>
      <c r="E40">
        <v>11000</v>
      </c>
    </row>
    <row r="41" spans="1:5" x14ac:dyDescent="0.2">
      <c r="A41" t="s">
        <v>41</v>
      </c>
      <c r="B41" t="s">
        <v>10</v>
      </c>
      <c r="C41" t="s">
        <v>7</v>
      </c>
      <c r="D41">
        <v>2500</v>
      </c>
      <c r="E41">
        <v>6250</v>
      </c>
    </row>
    <row r="42" spans="1:5" x14ac:dyDescent="0.2">
      <c r="A42" t="s">
        <v>42</v>
      </c>
      <c r="B42" t="s">
        <v>10</v>
      </c>
      <c r="C42" t="s">
        <v>7</v>
      </c>
      <c r="D42">
        <v>1000</v>
      </c>
      <c r="E42">
        <v>10500</v>
      </c>
    </row>
    <row r="43" spans="1:5" x14ac:dyDescent="0.2">
      <c r="A43" t="s">
        <v>43</v>
      </c>
      <c r="B43" t="s">
        <v>10</v>
      </c>
      <c r="C43" t="s">
        <v>11</v>
      </c>
      <c r="D43">
        <v>1500</v>
      </c>
      <c r="E43">
        <v>2250</v>
      </c>
    </row>
    <row r="44" spans="1:5" x14ac:dyDescent="0.2">
      <c r="A44" t="s">
        <v>43</v>
      </c>
      <c r="B44" t="s">
        <v>10</v>
      </c>
      <c r="C44" t="s">
        <v>11</v>
      </c>
      <c r="D44">
        <v>800</v>
      </c>
      <c r="E44">
        <v>7700</v>
      </c>
    </row>
    <row r="45" spans="1:5" x14ac:dyDescent="0.2">
      <c r="A45" t="s">
        <v>43</v>
      </c>
      <c r="B45" t="s">
        <v>10</v>
      </c>
      <c r="C45" t="s">
        <v>11</v>
      </c>
      <c r="D45">
        <v>800</v>
      </c>
      <c r="E45">
        <v>5900</v>
      </c>
    </row>
    <row r="46" spans="1:5" x14ac:dyDescent="0.2">
      <c r="A46" t="s">
        <v>43</v>
      </c>
      <c r="B46" t="s">
        <v>6</v>
      </c>
      <c r="C46" t="s">
        <v>11</v>
      </c>
      <c r="D46">
        <v>1250</v>
      </c>
      <c r="E46">
        <v>8100</v>
      </c>
    </row>
    <row r="47" spans="1:5" x14ac:dyDescent="0.2">
      <c r="A47" t="s">
        <v>44</v>
      </c>
      <c r="B47" t="s">
        <v>10</v>
      </c>
      <c r="C47" t="s">
        <v>11</v>
      </c>
      <c r="D47">
        <v>1000</v>
      </c>
      <c r="E47">
        <v>6700</v>
      </c>
    </row>
    <row r="48" spans="1:5" x14ac:dyDescent="0.2">
      <c r="A48" t="s">
        <v>45</v>
      </c>
      <c r="B48" t="s">
        <v>6</v>
      </c>
      <c r="C48" t="s">
        <v>11</v>
      </c>
      <c r="D48">
        <v>3500</v>
      </c>
      <c r="E48">
        <v>100</v>
      </c>
    </row>
    <row r="49" spans="1:5" x14ac:dyDescent="0.2">
      <c r="A49" t="s">
        <v>46</v>
      </c>
      <c r="B49" t="s">
        <v>10</v>
      </c>
      <c r="C49" t="s">
        <v>7</v>
      </c>
      <c r="D49">
        <v>500</v>
      </c>
      <c r="E49">
        <v>8500</v>
      </c>
    </row>
    <row r="50" spans="1:5" x14ac:dyDescent="0.2">
      <c r="A50" t="s">
        <v>47</v>
      </c>
      <c r="B50" t="s">
        <v>10</v>
      </c>
      <c r="C50" t="s">
        <v>11</v>
      </c>
      <c r="D50">
        <v>500</v>
      </c>
      <c r="E50">
        <v>9150</v>
      </c>
    </row>
    <row r="51" spans="1:5" x14ac:dyDescent="0.2">
      <c r="A51" t="s">
        <v>48</v>
      </c>
      <c r="B51" t="s">
        <v>6</v>
      </c>
      <c r="C51" t="s">
        <v>7</v>
      </c>
      <c r="D51">
        <v>1250</v>
      </c>
      <c r="E51">
        <v>6850</v>
      </c>
    </row>
    <row r="52" spans="1:5" x14ac:dyDescent="0.2">
      <c r="A52" t="s">
        <v>49</v>
      </c>
      <c r="B52" t="s">
        <v>14</v>
      </c>
      <c r="C52" t="s">
        <v>7</v>
      </c>
      <c r="D52">
        <v>1000</v>
      </c>
      <c r="E52">
        <v>6450</v>
      </c>
    </row>
    <row r="53" spans="1:5" x14ac:dyDescent="0.2">
      <c r="A53" t="s">
        <v>50</v>
      </c>
      <c r="B53" t="s">
        <v>10</v>
      </c>
      <c r="C53" t="s">
        <v>7</v>
      </c>
      <c r="D53">
        <v>1250</v>
      </c>
      <c r="E53">
        <v>9650</v>
      </c>
    </row>
    <row r="54" spans="1:5" x14ac:dyDescent="0.2">
      <c r="A54" t="s">
        <v>51</v>
      </c>
      <c r="B54" t="s">
        <v>6</v>
      </c>
      <c r="C54" t="s">
        <v>7</v>
      </c>
      <c r="D54">
        <v>3000</v>
      </c>
      <c r="E54">
        <v>9850</v>
      </c>
    </row>
    <row r="55" spans="1:5" x14ac:dyDescent="0.2">
      <c r="A55" t="s">
        <v>52</v>
      </c>
      <c r="B55" t="s">
        <v>10</v>
      </c>
      <c r="C55" t="s">
        <v>11</v>
      </c>
      <c r="D55">
        <v>4000</v>
      </c>
      <c r="E55">
        <v>5150</v>
      </c>
    </row>
    <row r="56" spans="1:5" x14ac:dyDescent="0.2">
      <c r="A56" t="s">
        <v>53</v>
      </c>
      <c r="B56" t="s">
        <v>14</v>
      </c>
      <c r="C56" t="s">
        <v>7</v>
      </c>
      <c r="D56">
        <v>5000</v>
      </c>
      <c r="E56">
        <v>5450</v>
      </c>
    </row>
    <row r="57" spans="1:5" x14ac:dyDescent="0.2">
      <c r="A57" t="s">
        <v>54</v>
      </c>
      <c r="B57" t="s">
        <v>14</v>
      </c>
      <c r="C57" t="s">
        <v>7</v>
      </c>
      <c r="D57">
        <v>2250</v>
      </c>
      <c r="E57">
        <v>3250</v>
      </c>
    </row>
    <row r="58" spans="1:5" x14ac:dyDescent="0.2">
      <c r="A58" t="s">
        <v>55</v>
      </c>
      <c r="B58" t="s">
        <v>10</v>
      </c>
      <c r="C58" t="s">
        <v>11</v>
      </c>
      <c r="D58">
        <v>800</v>
      </c>
      <c r="E58">
        <v>2250</v>
      </c>
    </row>
    <row r="59" spans="1:5" x14ac:dyDescent="0.2">
      <c r="A59" t="s">
        <v>56</v>
      </c>
      <c r="B59" t="s">
        <v>6</v>
      </c>
      <c r="C59" t="s">
        <v>11</v>
      </c>
      <c r="D59">
        <v>4000</v>
      </c>
      <c r="E59">
        <v>4600</v>
      </c>
    </row>
    <row r="60" spans="1:5" x14ac:dyDescent="0.2">
      <c r="A60" t="s">
        <v>57</v>
      </c>
      <c r="B60" t="s">
        <v>10</v>
      </c>
      <c r="C60" t="s">
        <v>11</v>
      </c>
      <c r="D60">
        <v>750</v>
      </c>
      <c r="E60">
        <v>5500</v>
      </c>
    </row>
    <row r="61" spans="1:5" x14ac:dyDescent="0.2">
      <c r="A61" t="s">
        <v>58</v>
      </c>
      <c r="B61" t="s">
        <v>14</v>
      </c>
      <c r="C61" t="s">
        <v>11</v>
      </c>
      <c r="D61">
        <v>800</v>
      </c>
      <c r="E61">
        <v>4200</v>
      </c>
    </row>
    <row r="62" spans="1:5" x14ac:dyDescent="0.2">
      <c r="A62" t="s">
        <v>59</v>
      </c>
      <c r="B62" t="s">
        <v>10</v>
      </c>
      <c r="C62" t="s">
        <v>7</v>
      </c>
      <c r="D62">
        <v>1250</v>
      </c>
      <c r="E62">
        <v>8500</v>
      </c>
    </row>
    <row r="63" spans="1:5" x14ac:dyDescent="0.2">
      <c r="A63" t="s">
        <v>60</v>
      </c>
      <c r="B63" t="s">
        <v>14</v>
      </c>
      <c r="C63" t="s">
        <v>7</v>
      </c>
      <c r="D63">
        <v>2500</v>
      </c>
      <c r="E63">
        <v>9000</v>
      </c>
    </row>
    <row r="64" spans="1:5" x14ac:dyDescent="0.2">
      <c r="A64" t="s">
        <v>61</v>
      </c>
      <c r="B64" t="s">
        <v>14</v>
      </c>
      <c r="C64" t="s">
        <v>7</v>
      </c>
      <c r="D64">
        <v>2000</v>
      </c>
      <c r="E64">
        <v>3200</v>
      </c>
    </row>
    <row r="65" spans="1:5" x14ac:dyDescent="0.2">
      <c r="A65" t="s">
        <v>62</v>
      </c>
      <c r="B65" t="s">
        <v>10</v>
      </c>
      <c r="C65" t="s">
        <v>11</v>
      </c>
      <c r="D65">
        <v>2500</v>
      </c>
      <c r="E65">
        <v>8000</v>
      </c>
    </row>
    <row r="66" spans="1:5" x14ac:dyDescent="0.2">
      <c r="A66" t="s">
        <v>63</v>
      </c>
      <c r="B66" t="s">
        <v>10</v>
      </c>
      <c r="C66" t="s">
        <v>7</v>
      </c>
      <c r="D66">
        <v>3000</v>
      </c>
      <c r="E66">
        <v>8900</v>
      </c>
    </row>
    <row r="67" spans="1:5" x14ac:dyDescent="0.2">
      <c r="A67" t="s">
        <v>64</v>
      </c>
      <c r="B67" t="s">
        <v>10</v>
      </c>
      <c r="C67" t="s">
        <v>7</v>
      </c>
      <c r="D67">
        <v>2500</v>
      </c>
      <c r="E67">
        <v>4750</v>
      </c>
    </row>
    <row r="68" spans="1:5" x14ac:dyDescent="0.2">
      <c r="A68" t="s">
        <v>65</v>
      </c>
      <c r="B68" t="s">
        <v>10</v>
      </c>
      <c r="C68" t="s">
        <v>11</v>
      </c>
      <c r="D68">
        <v>1250</v>
      </c>
      <c r="E68">
        <v>3750</v>
      </c>
    </row>
    <row r="69" spans="1:5" x14ac:dyDescent="0.2">
      <c r="A69" t="s">
        <v>66</v>
      </c>
      <c r="B69" t="s">
        <v>14</v>
      </c>
      <c r="C69" t="s">
        <v>11</v>
      </c>
      <c r="D69">
        <v>5000</v>
      </c>
      <c r="E69">
        <v>1000</v>
      </c>
    </row>
    <row r="70" spans="1:5" x14ac:dyDescent="0.2">
      <c r="A70" t="s">
        <v>67</v>
      </c>
      <c r="B70" t="s">
        <v>10</v>
      </c>
      <c r="C70" t="s">
        <v>7</v>
      </c>
      <c r="D70">
        <v>2250</v>
      </c>
      <c r="E70">
        <v>5650</v>
      </c>
    </row>
    <row r="71" spans="1:5" x14ac:dyDescent="0.2">
      <c r="A71" t="s">
        <v>68</v>
      </c>
      <c r="B71" t="s">
        <v>14</v>
      </c>
      <c r="C71" t="s">
        <v>7</v>
      </c>
      <c r="D71">
        <v>4500</v>
      </c>
      <c r="E71">
        <v>8200</v>
      </c>
    </row>
    <row r="72" spans="1:5" x14ac:dyDescent="0.2">
      <c r="A72" t="s">
        <v>69</v>
      </c>
      <c r="B72" t="s">
        <v>6</v>
      </c>
      <c r="C72" t="s">
        <v>11</v>
      </c>
      <c r="D72">
        <v>800</v>
      </c>
      <c r="E72">
        <v>6350</v>
      </c>
    </row>
    <row r="73" spans="1:5" x14ac:dyDescent="0.2">
      <c r="A73" t="s">
        <v>70</v>
      </c>
      <c r="B73" t="s">
        <v>14</v>
      </c>
      <c r="C73" t="s">
        <v>7</v>
      </c>
      <c r="D73">
        <v>3500</v>
      </c>
      <c r="E73">
        <v>11950</v>
      </c>
    </row>
    <row r="74" spans="1:5" x14ac:dyDescent="0.2">
      <c r="A74" t="s">
        <v>71</v>
      </c>
      <c r="B74" t="s">
        <v>6</v>
      </c>
      <c r="C74" t="s">
        <v>11</v>
      </c>
      <c r="D74">
        <v>4500</v>
      </c>
      <c r="E74">
        <v>6850</v>
      </c>
    </row>
    <row r="75" spans="1:5" x14ac:dyDescent="0.2">
      <c r="A75" t="s">
        <v>71</v>
      </c>
      <c r="B75" t="s">
        <v>6</v>
      </c>
      <c r="C75" t="s">
        <v>7</v>
      </c>
      <c r="D75">
        <v>1000</v>
      </c>
      <c r="E75">
        <v>5600</v>
      </c>
    </row>
    <row r="76" spans="1:5" x14ac:dyDescent="0.2">
      <c r="A76" t="s">
        <v>72</v>
      </c>
      <c r="B76" t="s">
        <v>14</v>
      </c>
      <c r="C76" t="s">
        <v>11</v>
      </c>
      <c r="D76">
        <v>1750</v>
      </c>
      <c r="E76">
        <v>450</v>
      </c>
    </row>
    <row r="77" spans="1:5" x14ac:dyDescent="0.2">
      <c r="A77" t="s">
        <v>73</v>
      </c>
      <c r="B77" t="s">
        <v>14</v>
      </c>
      <c r="C77" t="s">
        <v>7</v>
      </c>
      <c r="D77">
        <v>3000</v>
      </c>
      <c r="E77">
        <v>6500</v>
      </c>
    </row>
    <row r="78" spans="1:5" x14ac:dyDescent="0.2">
      <c r="A78" t="s">
        <v>74</v>
      </c>
      <c r="B78" t="s">
        <v>6</v>
      </c>
      <c r="C78" t="s">
        <v>11</v>
      </c>
      <c r="D78">
        <v>800</v>
      </c>
      <c r="E78">
        <v>12200</v>
      </c>
    </row>
    <row r="79" spans="1:5" x14ac:dyDescent="0.2">
      <c r="A79" t="s">
        <v>75</v>
      </c>
      <c r="B79" t="s">
        <v>10</v>
      </c>
      <c r="C79" t="s">
        <v>7</v>
      </c>
      <c r="D79">
        <v>2250</v>
      </c>
      <c r="E79">
        <v>7400</v>
      </c>
    </row>
    <row r="80" spans="1:5" x14ac:dyDescent="0.2">
      <c r="A80" t="s">
        <v>76</v>
      </c>
      <c r="B80" t="s">
        <v>6</v>
      </c>
      <c r="C80" t="s">
        <v>7</v>
      </c>
      <c r="D80">
        <v>500</v>
      </c>
      <c r="E80">
        <v>5600</v>
      </c>
    </row>
    <row r="81" spans="1:5" x14ac:dyDescent="0.2">
      <c r="A81" t="s">
        <v>77</v>
      </c>
      <c r="B81" t="s">
        <v>10</v>
      </c>
      <c r="C81" t="s">
        <v>11</v>
      </c>
      <c r="D81">
        <v>750</v>
      </c>
      <c r="E81">
        <v>7250</v>
      </c>
    </row>
    <row r="82" spans="1:5" x14ac:dyDescent="0.2">
      <c r="A82" t="s">
        <v>78</v>
      </c>
      <c r="B82" t="s">
        <v>14</v>
      </c>
      <c r="C82" t="s">
        <v>7</v>
      </c>
      <c r="D82">
        <v>500</v>
      </c>
      <c r="E82">
        <v>5450</v>
      </c>
    </row>
    <row r="83" spans="1:5" x14ac:dyDescent="0.2">
      <c r="A83" t="s">
        <v>79</v>
      </c>
      <c r="B83" t="s">
        <v>10</v>
      </c>
      <c r="C83" t="s">
        <v>11</v>
      </c>
      <c r="D83">
        <v>2500</v>
      </c>
      <c r="E83">
        <v>3400</v>
      </c>
    </row>
    <row r="84" spans="1:5" x14ac:dyDescent="0.2">
      <c r="A84" t="s">
        <v>80</v>
      </c>
      <c r="B84" t="s">
        <v>6</v>
      </c>
      <c r="C84" t="s">
        <v>11</v>
      </c>
      <c r="D84">
        <v>800</v>
      </c>
      <c r="E84">
        <v>7150</v>
      </c>
    </row>
    <row r="85" spans="1:5" x14ac:dyDescent="0.2">
      <c r="A85" t="s">
        <v>81</v>
      </c>
      <c r="B85" t="s">
        <v>6</v>
      </c>
      <c r="C85" t="s">
        <v>11</v>
      </c>
      <c r="D85">
        <v>3500</v>
      </c>
      <c r="E85">
        <v>11950</v>
      </c>
    </row>
    <row r="86" spans="1:5" x14ac:dyDescent="0.2">
      <c r="A86" t="s">
        <v>82</v>
      </c>
      <c r="B86" t="s">
        <v>14</v>
      </c>
      <c r="C86" t="s">
        <v>11</v>
      </c>
      <c r="D86">
        <v>3000</v>
      </c>
      <c r="E86">
        <v>1200</v>
      </c>
    </row>
    <row r="87" spans="1:5" x14ac:dyDescent="0.2">
      <c r="A87" t="s">
        <v>83</v>
      </c>
      <c r="B87" t="s">
        <v>6</v>
      </c>
      <c r="C87" t="s">
        <v>7</v>
      </c>
      <c r="D87">
        <v>5000</v>
      </c>
      <c r="E87">
        <v>12500</v>
      </c>
    </row>
    <row r="88" spans="1:5" x14ac:dyDescent="0.2">
      <c r="A88" t="s">
        <v>84</v>
      </c>
      <c r="B88" t="s">
        <v>10</v>
      </c>
      <c r="C88" t="s">
        <v>7</v>
      </c>
      <c r="D88">
        <v>4000</v>
      </c>
      <c r="E88">
        <v>9500</v>
      </c>
    </row>
    <row r="89" spans="1:5" x14ac:dyDescent="0.2">
      <c r="A89" t="s">
        <v>85</v>
      </c>
      <c r="B89" t="s">
        <v>10</v>
      </c>
      <c r="C89" t="s">
        <v>11</v>
      </c>
      <c r="D89">
        <v>1000</v>
      </c>
      <c r="E89">
        <v>4650</v>
      </c>
    </row>
    <row r="90" spans="1:5" x14ac:dyDescent="0.2">
      <c r="A90" t="s">
        <v>86</v>
      </c>
      <c r="B90" t="s">
        <v>14</v>
      </c>
      <c r="C90" t="s">
        <v>7</v>
      </c>
      <c r="D90">
        <v>3000</v>
      </c>
      <c r="E90">
        <v>5000</v>
      </c>
    </row>
    <row r="91" spans="1:5" x14ac:dyDescent="0.2">
      <c r="A91" t="s">
        <v>87</v>
      </c>
      <c r="B91" t="s">
        <v>6</v>
      </c>
      <c r="C91" t="s">
        <v>11</v>
      </c>
      <c r="D91">
        <v>2000</v>
      </c>
      <c r="E91">
        <v>3600</v>
      </c>
    </row>
    <row r="92" spans="1:5" x14ac:dyDescent="0.2">
      <c r="A92" t="s">
        <v>88</v>
      </c>
      <c r="B92" t="s">
        <v>6</v>
      </c>
      <c r="C92" t="s">
        <v>7</v>
      </c>
      <c r="D92">
        <v>3000</v>
      </c>
      <c r="E92">
        <v>9850</v>
      </c>
    </row>
    <row r="93" spans="1:5" x14ac:dyDescent="0.2">
      <c r="A93" t="s">
        <v>89</v>
      </c>
      <c r="B93" t="s">
        <v>10</v>
      </c>
      <c r="C93" t="s">
        <v>11</v>
      </c>
      <c r="D93">
        <v>2000</v>
      </c>
      <c r="E93">
        <v>8000</v>
      </c>
    </row>
    <row r="94" spans="1:5" x14ac:dyDescent="0.2">
      <c r="A94" t="s">
        <v>90</v>
      </c>
      <c r="B94" t="s">
        <v>14</v>
      </c>
      <c r="C94" t="s">
        <v>7</v>
      </c>
      <c r="D94">
        <v>2000</v>
      </c>
      <c r="E94">
        <v>2000</v>
      </c>
    </row>
    <row r="95" spans="1:5" x14ac:dyDescent="0.2">
      <c r="A95" t="s">
        <v>91</v>
      </c>
      <c r="B95" t="s">
        <v>14</v>
      </c>
      <c r="C95" t="s">
        <v>11</v>
      </c>
      <c r="D95">
        <v>3000</v>
      </c>
      <c r="E95">
        <v>1250</v>
      </c>
    </row>
    <row r="96" spans="1:5" x14ac:dyDescent="0.2">
      <c r="A96" t="s">
        <v>92</v>
      </c>
      <c r="B96" t="s">
        <v>6</v>
      </c>
      <c r="C96" t="s">
        <v>7</v>
      </c>
      <c r="D96">
        <v>750</v>
      </c>
      <c r="E96">
        <v>6350</v>
      </c>
    </row>
    <row r="97" spans="1:5" x14ac:dyDescent="0.2">
      <c r="A97" t="s">
        <v>93</v>
      </c>
      <c r="B97" t="s">
        <v>14</v>
      </c>
      <c r="C97" t="s">
        <v>11</v>
      </c>
      <c r="D97">
        <v>3000</v>
      </c>
      <c r="E97">
        <v>6000</v>
      </c>
    </row>
    <row r="98" spans="1:5" x14ac:dyDescent="0.2">
      <c r="A98" t="s">
        <v>94</v>
      </c>
      <c r="B98" t="s">
        <v>14</v>
      </c>
      <c r="C98" t="s">
        <v>11</v>
      </c>
      <c r="D98">
        <v>4000</v>
      </c>
      <c r="E98">
        <v>4250</v>
      </c>
    </row>
    <row r="99" spans="1:5" x14ac:dyDescent="0.2">
      <c r="A99" t="s">
        <v>95</v>
      </c>
      <c r="B99" t="s">
        <v>10</v>
      </c>
      <c r="C99" t="s">
        <v>11</v>
      </c>
      <c r="D99">
        <v>1750</v>
      </c>
      <c r="E99">
        <v>2900</v>
      </c>
    </row>
    <row r="100" spans="1:5" x14ac:dyDescent="0.2">
      <c r="A100" t="s">
        <v>96</v>
      </c>
      <c r="B100" t="s">
        <v>6</v>
      </c>
      <c r="C100" t="s">
        <v>7</v>
      </c>
      <c r="D100">
        <v>500</v>
      </c>
      <c r="E100">
        <v>6850</v>
      </c>
    </row>
    <row r="101" spans="1:5" x14ac:dyDescent="0.2">
      <c r="A101" t="s">
        <v>97</v>
      </c>
      <c r="B101" t="s">
        <v>14</v>
      </c>
      <c r="C101" t="s">
        <v>11</v>
      </c>
      <c r="D101">
        <v>1750</v>
      </c>
      <c r="E101">
        <v>3700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57D88-EC0E-BA49-852C-2399239285F6}">
  <sheetPr codeName="Sheet3"/>
  <dimension ref="A1:F4"/>
  <sheetViews>
    <sheetView tabSelected="1" workbookViewId="0">
      <selection sqref="A1:F1"/>
    </sheetView>
  </sheetViews>
  <sheetFormatPr baseColWidth="10" defaultRowHeight="16" x14ac:dyDescent="0.2"/>
  <cols>
    <col min="2" max="2" width="19.33203125" customWidth="1"/>
    <col min="3" max="3" width="16.1640625" customWidth="1"/>
    <col min="6" max="6" width="28.33203125" customWidth="1"/>
  </cols>
  <sheetData>
    <row r="1" spans="1:6" x14ac:dyDescent="0.2">
      <c r="A1" s="5" t="s">
        <v>4</v>
      </c>
      <c r="B1" s="5" t="s">
        <v>99</v>
      </c>
      <c r="C1" s="5" t="s">
        <v>100</v>
      </c>
      <c r="D1" s="5" t="s">
        <v>101</v>
      </c>
      <c r="E1" s="5" t="s">
        <v>102</v>
      </c>
      <c r="F1" s="5" t="s">
        <v>117</v>
      </c>
    </row>
    <row r="2" spans="1:6" x14ac:dyDescent="0.2">
      <c r="A2" t="s">
        <v>10</v>
      </c>
      <c r="B2">
        <v>50000</v>
      </c>
      <c r="C2">
        <f>SUMIFS(Transactions!D:D,Transactions!B:B,A2,Transactions!C:C,"Deposit")-SUMIFS(Transactions!D:D,Transactions!B:B,A2,Transactions!C:C,"Withdrawal")</f>
        <v>2900</v>
      </c>
      <c r="D2" s="6">
        <f>B2-C2</f>
        <v>47100</v>
      </c>
      <c r="E2" s="6" t="str">
        <f>IF(D2=0,"Reconciled",IF(D2&gt;0,"Under","Over"))</f>
        <v>Under</v>
      </c>
      <c r="F2" t="str">
        <f>VLOOKUP(A2,Dashboard!O:P,2,0)</f>
        <v>Registered Retirement Savings Plan</v>
      </c>
    </row>
    <row r="3" spans="1:6" x14ac:dyDescent="0.2">
      <c r="A3" t="s">
        <v>14</v>
      </c>
      <c r="B3">
        <v>35000</v>
      </c>
      <c r="C3">
        <f>SUMIFS(Transactions!D:D,Transactions!B:B,A3,Transactions!C:C,"Deposit")-SUMIFS(Transactions!D:D,Transactions!B:B,A3,Transactions!C:C,"Withdrawal")</f>
        <v>11950</v>
      </c>
      <c r="D3" s="6">
        <f>B3-C3</f>
        <v>23050</v>
      </c>
      <c r="E3" s="6" t="str">
        <f t="shared" ref="E3:E4" si="0">IF(D3=0,"Reconciled",IF(D3&gt;0,"Under","Over"))</f>
        <v>Under</v>
      </c>
      <c r="F3" t="str">
        <f>VLOOKUP(A3,Dashboard!O:P,2,0)</f>
        <v>Tax Free Savings Account</v>
      </c>
    </row>
    <row r="4" spans="1:6" x14ac:dyDescent="0.2">
      <c r="A4" t="s">
        <v>6</v>
      </c>
      <c r="B4">
        <v>15000</v>
      </c>
      <c r="C4">
        <f>SUMIFS(Transactions!D:D,Transactions!B:B,A4,Transactions!C:C,"Deposit")-SUMIFS(Transactions!D:D,Transactions!B:B,A4,Transactions!C:C,"Withdrawal")</f>
        <v>6850</v>
      </c>
      <c r="D4" s="7">
        <f t="shared" ref="D3:D4" si="1">B4-C4</f>
        <v>8150</v>
      </c>
      <c r="E4" s="7" t="str">
        <f t="shared" si="0"/>
        <v>Under</v>
      </c>
      <c r="F4" t="str">
        <f>VLOOKUP(A4,Dashboard!O:P,2,0)</f>
        <v>First Home Savings Account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conciliationReport">
                <anchor moveWithCells="1" sizeWithCells="1">
                  <from>
                    <xdr:col>5</xdr:col>
                    <xdr:colOff>1079500</xdr:colOff>
                    <xdr:row>9</xdr:row>
                    <xdr:rowOff>114300</xdr:rowOff>
                  </from>
                  <to>
                    <xdr:col>6</xdr:col>
                    <xdr:colOff>444500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14D93-1BF3-BB46-9789-A2BD4EBE78BD}">
  <sheetPr codeName="Sheet4"/>
  <dimension ref="A1:D4"/>
  <sheetViews>
    <sheetView workbookViewId="0">
      <selection activeCell="D11" sqref="D11"/>
    </sheetView>
  </sheetViews>
  <sheetFormatPr baseColWidth="10" defaultRowHeight="16" x14ac:dyDescent="0.2"/>
  <cols>
    <col min="4" max="4" width="53.83203125" customWidth="1"/>
  </cols>
  <sheetData>
    <row r="1" spans="1:4" x14ac:dyDescent="0.2">
      <c r="A1" t="s">
        <v>4</v>
      </c>
      <c r="B1" t="s">
        <v>101</v>
      </c>
      <c r="C1" t="s">
        <v>102</v>
      </c>
      <c r="D1" t="s">
        <v>103</v>
      </c>
    </row>
    <row r="2" spans="1:4" x14ac:dyDescent="0.2">
      <c r="A2" t="str">
        <f>Reconciliation!A2</f>
        <v>RRSP</v>
      </c>
      <c r="D2" t="s">
        <v>104</v>
      </c>
    </row>
    <row r="3" spans="1:4" x14ac:dyDescent="0.2">
      <c r="A3" t="str">
        <f>Reconciliation!A3</f>
        <v>TFSA</v>
      </c>
      <c r="D3" t="s">
        <v>105</v>
      </c>
    </row>
    <row r="4" spans="1:4" x14ac:dyDescent="0.2">
      <c r="A4" t="str">
        <f>Reconciliation!A4</f>
        <v>FHSA</v>
      </c>
      <c r="D4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50460-AE27-2F4F-BC7F-314E3BCFD8DD}">
  <sheetPr codeName="Sheet5"/>
  <dimension ref="B2:P26"/>
  <sheetViews>
    <sheetView workbookViewId="0">
      <selection activeCell="O9" sqref="O9"/>
    </sheetView>
  </sheetViews>
  <sheetFormatPr baseColWidth="10" defaultRowHeight="16" x14ac:dyDescent="0.2"/>
  <cols>
    <col min="2" max="2" width="13" bestFit="1" customWidth="1"/>
    <col min="3" max="3" width="13.6640625" bestFit="1" customWidth="1"/>
    <col min="4" max="5" width="10.5" bestFit="1" customWidth="1"/>
    <col min="15" max="15" width="15.6640625" customWidth="1"/>
    <col min="16" max="16" width="35" customWidth="1"/>
    <col min="17" max="17" width="27.6640625" customWidth="1"/>
  </cols>
  <sheetData>
    <row r="2" spans="2:16" ht="21" x14ac:dyDescent="0.25">
      <c r="B2" s="1" t="s">
        <v>107</v>
      </c>
    </row>
    <row r="5" spans="2:16" x14ac:dyDescent="0.2">
      <c r="B5" s="2" t="s">
        <v>110</v>
      </c>
      <c r="C5" s="2" t="s">
        <v>111</v>
      </c>
      <c r="O5" t="s">
        <v>112</v>
      </c>
      <c r="P5" t="s">
        <v>113</v>
      </c>
    </row>
    <row r="6" spans="2:16" x14ac:dyDescent="0.2">
      <c r="B6" s="2" t="s">
        <v>108</v>
      </c>
      <c r="C6" t="s">
        <v>7</v>
      </c>
      <c r="D6" t="s">
        <v>11</v>
      </c>
      <c r="E6" t="s">
        <v>109</v>
      </c>
      <c r="O6" t="s">
        <v>10</v>
      </c>
      <c r="P6" t="s">
        <v>114</v>
      </c>
    </row>
    <row r="7" spans="2:16" x14ac:dyDescent="0.2">
      <c r="B7" s="3" t="s">
        <v>6</v>
      </c>
      <c r="C7" s="4">
        <v>38250</v>
      </c>
      <c r="D7" s="4">
        <v>31400</v>
      </c>
      <c r="E7" s="4">
        <v>69650</v>
      </c>
      <c r="O7" t="s">
        <v>14</v>
      </c>
      <c r="P7" t="s">
        <v>115</v>
      </c>
    </row>
    <row r="8" spans="2:16" x14ac:dyDescent="0.2">
      <c r="B8" s="3" t="s">
        <v>10</v>
      </c>
      <c r="C8" s="4">
        <v>30800</v>
      </c>
      <c r="D8" s="4">
        <v>27900</v>
      </c>
      <c r="E8" s="4">
        <v>58700</v>
      </c>
      <c r="O8" t="s">
        <v>6</v>
      </c>
      <c r="P8" t="s">
        <v>116</v>
      </c>
    </row>
    <row r="9" spans="2:16" x14ac:dyDescent="0.2">
      <c r="B9" s="3" t="s">
        <v>14</v>
      </c>
      <c r="C9" s="4">
        <v>47000</v>
      </c>
      <c r="D9" s="4">
        <v>35050</v>
      </c>
      <c r="E9" s="4">
        <v>82050</v>
      </c>
    </row>
    <row r="10" spans="2:16" x14ac:dyDescent="0.2">
      <c r="B10" s="3" t="s">
        <v>109</v>
      </c>
      <c r="C10" s="4">
        <v>116050</v>
      </c>
      <c r="D10" s="4">
        <v>94350</v>
      </c>
      <c r="E10" s="4">
        <v>210400</v>
      </c>
    </row>
    <row r="23" spans="2:3" x14ac:dyDescent="0.2">
      <c r="B23" s="2" t="s">
        <v>108</v>
      </c>
      <c r="C23" t="s">
        <v>110</v>
      </c>
    </row>
    <row r="24" spans="2:3" x14ac:dyDescent="0.2">
      <c r="B24" s="3" t="s">
        <v>7</v>
      </c>
      <c r="C24" s="4">
        <v>116050</v>
      </c>
    </row>
    <row r="25" spans="2:3" x14ac:dyDescent="0.2">
      <c r="B25" s="3" t="s">
        <v>11</v>
      </c>
      <c r="C25" s="4">
        <v>94350</v>
      </c>
    </row>
    <row r="26" spans="2:3" x14ac:dyDescent="0.2">
      <c r="B26" s="3" t="s">
        <v>109</v>
      </c>
      <c r="C26" s="4">
        <v>210400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Transactions</vt:lpstr>
      <vt:lpstr>Reconciliation</vt:lpstr>
      <vt:lpstr>Discrepancy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Humna Azhar</dc:creator>
  <cp:lastModifiedBy>Humna Azhar</cp:lastModifiedBy>
  <dcterms:created xsi:type="dcterms:W3CDTF">2026-04-27T19:15:59Z</dcterms:created>
  <dcterms:modified xsi:type="dcterms:W3CDTF">2026-04-28T04:25:42Z</dcterms:modified>
</cp:coreProperties>
</file>